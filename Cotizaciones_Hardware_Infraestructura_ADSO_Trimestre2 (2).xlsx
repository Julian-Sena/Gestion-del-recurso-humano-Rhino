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live\Downloads\"/>
    </mc:Choice>
  </mc:AlternateContent>
  <xr:revisionPtr revIDLastSave="0" documentId="13_ncr:1_{FD39BD0B-BB8E-44E7-A380-646AAE701656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Hoja1" sheetId="4" r:id="rId1"/>
    <sheet name="1. Resumen de Costos" sheetId="1" r:id="rId2"/>
    <sheet name="2. Equipos Cliente y Ensamble" sheetId="2" r:id="rId3"/>
    <sheet name="3. Servidores, Internet y Nube" sheetId="3" r:id="rId4"/>
  </sheets>
  <calcPr calcId="191029"/>
</workbook>
</file>

<file path=xl/calcChain.xml><?xml version="1.0" encoding="utf-8"?>
<calcChain xmlns="http://schemas.openxmlformats.org/spreadsheetml/2006/main">
  <c r="E12" i="1" l="1"/>
  <c r="E11" i="1"/>
  <c r="F10" i="1"/>
  <c r="E10" i="1"/>
  <c r="F9" i="1"/>
  <c r="E9" i="1"/>
  <c r="F8" i="1"/>
  <c r="E8" i="1"/>
  <c r="F7" i="1"/>
  <c r="E7" i="1"/>
  <c r="F6" i="1"/>
  <c r="E6" i="1"/>
</calcChain>
</file>

<file path=xl/sharedStrings.xml><?xml version="1.0" encoding="utf-8"?>
<sst xmlns="http://schemas.openxmlformats.org/spreadsheetml/2006/main" count="209" uniqueCount="171">
  <si>
    <t>SISTEMA DE GESTIÓN DE TALENTO HUMANO (SGTH) - RHINO SOLUCIONES</t>
  </si>
  <si>
    <t>Presupuesto Simplificado de Hardware e Infraestructura - Segundo Trimestre ADSO</t>
  </si>
  <si>
    <t>Ítem de Infraestructura / Hardware</t>
  </si>
  <si>
    <t>Opción Seleccionada (La más adecuada)</t>
  </si>
  <si>
    <t>Proveedor (Bogotá)</t>
  </si>
  <si>
    <t>Costo de Adquisición / Mensual</t>
  </si>
  <si>
    <t>Costo Anualizado Estimado</t>
  </si>
  <si>
    <t>1. Computadores de Mesa</t>
  </si>
  <si>
    <t>HP Pro SFF 400 G9 (Para 5 puestos fijos de oficina)</t>
  </si>
  <si>
    <t>Lasus Colombia</t>
  </si>
  <si>
    <t>Equipos de marca con Windows Pro legal y 3 años de garantía. Evita fallas técnicas en la oficina.</t>
  </si>
  <si>
    <t>2. Computadores Portátiles</t>
  </si>
  <si>
    <t>Lenovo ThinkBook 14 (Para 3 líderes/directivos)</t>
  </si>
  <si>
    <t>Clonet S.A.S.</t>
  </si>
  <si>
    <t>Dan movilidad para trabajar desde casa o en reuniones. Tienen 16GB de RAM para que no se pongan lentos.</t>
  </si>
  <si>
    <t>3. Computador Ensamblado por Partes</t>
  </si>
  <si>
    <t>Configuración Intel i5 (1 equipo para pruebas TI)</t>
  </si>
  <si>
    <t>Tauret Computadores</t>
  </si>
  <si>
    <t>Más potencia por menos dinero. Incluye un disco SSD de 1TB para guardar todas las versiones del código del sistema.</t>
  </si>
  <si>
    <t>4. Conectividad a Internet</t>
  </si>
  <si>
    <t>ETB Fibra Óptica Empresarial 500 Megas (Pago Mensual)</t>
  </si>
  <si>
    <t>ETB S.A. ESP</t>
  </si>
  <si>
    <t>Internet simétrico (misma velocidad de subida y bajada). Clave para que el sistema cargue archivos PDF sin caerse.</t>
  </si>
  <si>
    <t>5. Servidor de Despliegue</t>
  </si>
  <si>
    <t>DigitalOcean Droplet Básico (Pago Mensual Cloud)</t>
  </si>
  <si>
    <t>DigitalOcean Cloud</t>
  </si>
  <si>
    <t>Servidor en la nube muy económico para la fase inicial. Se paga mes a mes y aloja la aplicación Java y la BD MySQL.</t>
  </si>
  <si>
    <t>TOTAL INVERSIÓN INICIAL EN HARDWARE (Compra de equipos fixed)</t>
  </si>
  <si>
    <t>TOTAL COSTO MENSUAL OPERATIVO (Internet + Servidor Cloud)</t>
  </si>
  <si>
    <t>COTIZACIONES REALES DE COMPUTADORES (PROVEEDORES BOGOTÁ)</t>
  </si>
  <si>
    <t>Tipo de Equipo</t>
  </si>
  <si>
    <t>Alternativa</t>
  </si>
  <si>
    <t>Proveedor (Sede Física)</t>
  </si>
  <si>
    <t>Componentes Clave (Especificaciones)</t>
  </si>
  <si>
    <t>Precio Unitario (COP)</t>
  </si>
  <si>
    <t>Garantía</t>
  </si>
  <si>
    <t>Enlace de Verificación (100% Real)</t>
  </si>
  <si>
    <t>Computador de Mesa</t>
  </si>
  <si>
    <t>Alt 1: HP Pro SFF 400 G9</t>
  </si>
  <si>
    <t>Lasus Colombia (Bogotá)</t>
  </si>
  <si>
    <t>Intel i5 (14 núcleos), 16GB RAM DDR5, 512GB Disco SSD, Windows 11 Pro</t>
  </si>
  <si>
    <t>3 Años HP</t>
  </si>
  <si>
    <t>Excelente para la oficina; marca reconocida con Windows original corporativo.</t>
  </si>
  <si>
    <t>https://lasus.com.co/es/cpu-y-escritorio</t>
  </si>
  <si>
    <t>Alt 2: Dell Slim QCS1250</t>
  </si>
  <si>
    <t>Intel i5, 16GB RAM DDR5, 512GB Disco SSD, Windows 11 Pro</t>
  </si>
  <si>
    <t>3 Años Dell</t>
  </si>
  <si>
    <t>Viene con garantía técnica directamente en la oficina si algo se daña.</t>
  </si>
  <si>
    <t>Alt 3: Lenovo ThinkCentre Neo 30s</t>
  </si>
  <si>
    <t>Intel i7 (Alta velocidad), 16GB RAM, 512GB Disco SSD, Windows 11 Pro</t>
  </si>
  <si>
    <t>1 Año Lenovo</t>
  </si>
  <si>
    <t>Procesador i7 muy rápido para procesar datos de nómina pesados rápidamente.</t>
  </si>
  <si>
    <t>Portátil Empresarial</t>
  </si>
  <si>
    <t>Alt 1: Lenovo ThinkBook 14</t>
  </si>
  <si>
    <t>Clonet S.A.S. (Lago - Bogotá)</t>
  </si>
  <si>
    <t>Intel i5, 16GB RAM DDR5, 512GB Disco SSD, Pantalla 14" Full HD</t>
  </si>
  <si>
    <t>1 Año Tienda</t>
  </si>
  <si>
    <t>Estructura fuerte de aluminio y memoria DDR5 moderna para abrir NetBeans rápido.</t>
  </si>
  <si>
    <t>https://clonet.com.co</t>
  </si>
  <si>
    <t>Alt 2: HP ProBook 440 G10</t>
  </si>
  <si>
    <t>Systore Colombia (Bogotá)</t>
  </si>
  <si>
    <t>Intel i5, 16GB RAM, 512GB Disco SSD, Pantalla 14", Windows 11 Pro</t>
  </si>
  <si>
    <t>1 Año HP</t>
  </si>
  <si>
    <t>Batería de larga duración y seguridad integrada contra virus empresariales.</t>
  </si>
  <si>
    <t>https://systorecolombia.com</t>
  </si>
  <si>
    <t>Alt 3: Dell Latitude 3440</t>
  </si>
  <si>
    <t>1 Año Dell</t>
  </si>
  <si>
    <t>Línea muy resistente, ideal para los jefes que viajan o hacen teletrabajo.</t>
  </si>
  <si>
    <t>Ensamblado por Partes</t>
  </si>
  <si>
    <t>Alt 1: Config i5 Alta Eficiencia</t>
  </si>
  <si>
    <t>Tauret Computadores (Bogotá)</t>
  </si>
  <si>
    <t>Intel i5-14400, Board ASUS, 16GB RAM DDR5, Disco SSD de 1TB (1000GB), Fuente Certificada</t>
  </si>
  <si>
    <t>1 Año por pieza</t>
  </si>
  <si>
    <t>Tiene un disco gigante de 1TB para guardar todas las bases de datos de prueba.</t>
  </si>
  <si>
    <t>https://tauretcomputadores.com/lista-de-precios</t>
  </si>
  <si>
    <t>Alt 2: Config Ryzen 5 Más RAM</t>
  </si>
  <si>
    <t>AMD Ryzen 5, Board MSI, 32GB RAM DDR4 (El doble de memoria), Disco SSD 1TB</t>
  </si>
  <si>
    <t>Trae el doble de memoria RAM (32GB) para correr servidores locales sin trabarse.</t>
  </si>
  <si>
    <t>Alt 3: Config Ryzen 7 Potente</t>
  </si>
  <si>
    <t>AMD Ryzen 7 (8 núcleos), Board Gigabyte, 16GB RAM, Disco SSD 1TB, Chasis Gamer</t>
  </si>
  <si>
    <t>Procesador de 8 núcleos reales, excelente para virtualizar sistemas operativos.</t>
  </si>
  <si>
    <t>COTIZACIONES DE INFRAESTRUCTURA DE RED Y SERVICIOS CLOUD</t>
  </si>
  <si>
    <t>Categoría</t>
  </si>
  <si>
    <t>Proveedor</t>
  </si>
  <si>
    <t>Capacidad / Especificación Técnica</t>
  </si>
  <si>
    <t>Costo Mensual (COP)</t>
  </si>
  <si>
    <t>Costo Anualizado (COP)</t>
  </si>
  <si>
    <t>Explicación de la Ventaja en el Software</t>
  </si>
  <si>
    <t>Fuente Verificable</t>
  </si>
  <si>
    <t>Servidor</t>
  </si>
  <si>
    <t>Alt 1: VPS Cloud Avanzado</t>
  </si>
  <si>
    <t>HostDime Colombia (Bogotá)</t>
  </si>
  <si>
    <t>Servidor Virtual, 4 CPUs Intel, 8GB Memoria RAM, 120GB Disco SSD</t>
  </si>
  <si>
    <t>Servidor virtualizado en Bogotá. Económico y fácil de agrandar en el futuro.</t>
  </si>
  <si>
    <t>https://www.hostdime.com.co</t>
  </si>
  <si>
    <t>Alt 2: Dedicado Físico Silver</t>
  </si>
  <si>
    <t>Servidor Físico Completo, Intel Xeon, 8GB RAM, 480GB Disco SSD</t>
  </si>
  <si>
    <t>Máxima seguridad y velocidad por ser una máquina física 100% exclusiva.</t>
  </si>
  <si>
    <t>Alt 3: Servidor HPE ProLiant Físico</t>
  </si>
  <si>
    <t>Clonet S.A.S. (Bogotá)</t>
  </si>
  <si>
    <t>Servidor Físico en Torre, Intel Xeon, 16GB RAM, 2TB Disco Duro</t>
  </si>
  <si>
    <t>Se compra una sola vez y se instala físicamente dentro de la empresa.</t>
  </si>
  <si>
    <t>Internet</t>
  </si>
  <si>
    <t>Alt 1: ETB Fibra Empresarial 500M</t>
  </si>
  <si>
    <t>ETB S.A. ESP (Bogotá)</t>
  </si>
  <si>
    <t>500 Megas Simétricas (Misma velocidad para subir y bajar datos) + 1 IP Fija</t>
  </si>
  <si>
    <t>La IP fija permite enlazar el sistema web para que los empleados entren seguros.</t>
  </si>
  <si>
    <t>https://etb.com/hogares</t>
  </si>
  <si>
    <t>Alt 2: ETB Fibra Empresarial 910M</t>
  </si>
  <si>
    <t>910 Megas Simétricas + 1 IP Fija con soporte técnico prioritario 24/7</t>
  </si>
  <si>
    <t>Ideal si hay más de 50 personas conectadas al sistema al mismo tiempo.</t>
  </si>
  <si>
    <t>Alt 3: Claro Empresas 300M</t>
  </si>
  <si>
    <t>Claro Colombia (Bogotá)</t>
  </si>
  <si>
    <t>300 Megas Asimétricas (Sube datos más lento de lo que descarga)</t>
  </si>
  <si>
    <t>Opción económica, pero subir archivos pesados al sistema puede tomar más tiempo.</t>
  </si>
  <si>
    <t>https://www.claro.com.co</t>
  </si>
  <si>
    <t>Servicio Cloud</t>
  </si>
  <si>
    <t>Alt 1: DigitalOcean Droplet Básico</t>
  </si>
  <si>
    <t>2 CPUs Compartidos, 4GB Memoria RAM, 80GB Disco SSD</t>
  </si>
  <si>
    <t>La opción más barata y recomendada para proyectos hechos en Java y MySQL.</t>
  </si>
  <si>
    <t>https://spot.rackspace.com/blog/digitalocean-alternatives</t>
  </si>
  <si>
    <t>Alt 2: DigitalOcean Dedicado</t>
  </si>
  <si>
    <t>2 CPUs Dedicados exclusivos, 8GB Memoria RAM, 25GB Disco SSD</t>
  </si>
  <si>
    <t>El procesador es exclusivo para Rhino, el sistema nunca se va a colgar por tráfico.</t>
  </si>
  <si>
    <t>Alt 3: Amazon Web Services EC2</t>
  </si>
  <si>
    <t>Amazon Web Services</t>
  </si>
  <si>
    <t>Instancia EC2 t3.large, 2 vCPUs, 8GB Memoria RAM, 100GB Almacenamiento</t>
  </si>
  <si>
    <t>Permite usar la nube de Amazon, la más usada del mundo, ideal para escalar después.</t>
  </si>
  <si>
    <t>&lt;&lt;</t>
  </si>
  <si>
    <t>Explicación</t>
  </si>
  <si>
    <t>Ventaja</t>
  </si>
  <si>
    <t>CARACTERÍSTICAS DEL PRODUCTO</t>
  </si>
  <si>
    <t>Nombre del producto:</t>
  </si>
  <si>
    <t>Sistema de gestión de talento humano (SGTH).</t>
  </si>
  <si>
    <t>Línea de producción:</t>
  </si>
  <si>
    <t>Sistema ERP - Área de Gestión de Talento Humano.</t>
  </si>
  <si>
    <t>Versiones anteriores:</t>
  </si>
  <si>
    <t>Ninguna.</t>
  </si>
  <si>
    <t>Versión actual:</t>
  </si>
  <si>
    <t>0.1</t>
  </si>
  <si>
    <t>Módulo</t>
  </si>
  <si>
    <t>Módulo Central de Administración de Personal y Control Organizacional.</t>
  </si>
  <si>
    <t>Autores:</t>
  </si>
  <si>
    <t>Julián Hernández, Cristian Oliveros, Miguel Rojas, Andrés Martínez.</t>
  </si>
  <si>
    <t>DESCRIPCIÓN DEL PRODUCTO</t>
  </si>
  <si>
    <t>Descripción general del producto:</t>
  </si>
  <si>
    <t>El SGTH es un aplicativo de entorno web diseñado a la medida para centralizar, optimizar y automatizar los procesos administrativos del área de talento humano de la empresa Rhino Soluciones Integrales S.A.S. (Sede Bogotá, Alcalá). Su propósito es mitigar los retrasos, la desorganización de documentos físicos y los riesgos de pérdida de datos asociados a la gestión tradicional en papel o archivos locales dispersos.</t>
  </si>
  <si>
    <t>Objetivo del producto</t>
  </si>
  <si>
    <t>Automatizar el control de las jornadas laborales y asignación de horarios, centralizar los expedientes de los empleados, agilizar el trámite y radicación de solicitudes administrativas, y establecer un mecanismo digital nativo de evaluación de desempeño anual que reemplace el uso de formularios externos en la nube, logrando un control integral en tiempo real para la organización.</t>
  </si>
  <si>
    <t>ARQUITECTURA</t>
  </si>
  <si>
    <t>Descripción:</t>
  </si>
  <si>
    <t>La arquitectura de este software se basa en el modelo Cliente-Servidor adaptado a un entorno web. El sistema se desplegará en un servidor centralizado (donde residirá la base de datos relacional y la lógica de negocio), permitiendo que los usuarios finales accedan de forma remota a las interfaces a través de cualquier navegador web estándar, garantizando la independencia del dispositivo de consumo.</t>
  </si>
  <si>
    <t>REQUERIMIENTOS DEL PRODUCTO</t>
  </si>
  <si>
    <t>Requisitos del sistema (Nivel de cómputo)</t>
  </si>
  <si>
    <t>Hardware:</t>
  </si>
  <si>
    <r>
      <rPr>
        <u/>
        <sz val="11"/>
        <color theme="1"/>
        <rFont val="Aptos Narrow"/>
      </rPr>
      <t>Procesador</t>
    </r>
    <r>
      <rPr>
        <sz val="11"/>
        <color theme="1"/>
        <rFont val="Aptos Narrow"/>
      </rPr>
      <t xml:space="preserve">: Intel Xeon o AMD EPYC (entorno de producción) / Intel Core i5 o superior (entorno de pruebas locales) con un mínimo de 4 núcleos a 2.5 GHz.
</t>
    </r>
    <r>
      <rPr>
        <u/>
        <sz val="11"/>
        <color theme="1"/>
        <rFont val="Aptos Narrow"/>
      </rPr>
      <t>Memoria RAM</t>
    </r>
    <r>
      <rPr>
        <sz val="11"/>
        <color theme="1"/>
        <rFont val="Aptos Narrow"/>
      </rPr>
      <t xml:space="preserve">: 4 GB de RAM mínimos dedicados en servidor (8 GB recomendado).
</t>
    </r>
    <r>
      <rPr>
        <u/>
        <sz val="11"/>
        <color theme="1"/>
        <rFont val="Aptos Narrow"/>
      </rPr>
      <t>Disco duro</t>
    </r>
    <r>
      <rPr>
        <sz val="11"/>
        <color theme="1"/>
        <rFont val="Aptos Narrow"/>
      </rPr>
      <t xml:space="preserve">: 50 GB de almacenamiento en estado sólido (SSD) o superior para la base de datos y archivos multimedia del personal.
</t>
    </r>
  </si>
  <si>
    <t>Software:</t>
  </si>
  <si>
    <r>
      <rPr>
        <u/>
        <sz val="11"/>
        <color theme="1"/>
        <rFont val="Aptos Narrow"/>
      </rPr>
      <t>Sistema Operativo</t>
    </r>
    <r>
      <rPr>
        <sz val="11"/>
        <color theme="1"/>
        <rFont val="Aptos Narrow"/>
      </rPr>
      <t xml:space="preserve">: Linux (Ubuntu Server 20.04 LTS / Debian) o Windows Server 2019/2022.
</t>
    </r>
    <r>
      <rPr>
        <u/>
        <sz val="11"/>
        <color theme="1"/>
        <rFont val="Aptos Narrow"/>
      </rPr>
      <t>Entorno de Ejecución</t>
    </r>
    <r>
      <rPr>
        <sz val="11"/>
        <color theme="1"/>
        <rFont val="Aptos Narrow"/>
      </rPr>
      <t xml:space="preserve">: A definir.
</t>
    </r>
    <r>
      <rPr>
        <u/>
        <sz val="11"/>
        <color theme="1"/>
        <rFont val="Aptos Narrow"/>
      </rPr>
      <t>Motor de base de datos</t>
    </r>
    <r>
      <rPr>
        <sz val="11"/>
        <color theme="1"/>
        <rFont val="Aptos Narrow"/>
      </rPr>
      <t>: A definir.</t>
    </r>
  </si>
  <si>
    <t>Otros:</t>
  </si>
  <si>
    <t>Conexión a internet de alta velocidad constante con IP pública estática y configuración de certificados de seguridad SSL (protocolo HTTPS).</t>
  </si>
  <si>
    <t>Requisitos del sistema (Del cliente)</t>
  </si>
  <si>
    <r>
      <rPr>
        <u/>
        <sz val="11"/>
        <color theme="1"/>
        <rFont val="Aptos Narrow"/>
      </rPr>
      <t>Procesador</t>
    </r>
    <r>
      <rPr>
        <sz val="11"/>
        <color theme="1"/>
        <rFont val="Aptos Narrow"/>
      </rPr>
      <t xml:space="preserve">: Intel Core i3, AMD Ryzen 3 o equivalentes.
</t>
    </r>
    <r>
      <rPr>
        <u/>
        <sz val="11"/>
        <color theme="1"/>
        <rFont val="Aptos Narrow"/>
      </rPr>
      <t>Memoria RAM</t>
    </r>
    <r>
      <rPr>
        <sz val="11"/>
        <color theme="1"/>
        <rFont val="Aptos Narrow"/>
      </rPr>
      <t xml:space="preserve">: 4 GB de RAM mínimos (8 GB recomendado para optimizar la multitarea de la oficina).
</t>
    </r>
    <r>
      <rPr>
        <u/>
        <sz val="11"/>
        <color theme="1"/>
        <rFont val="Aptos Narrow"/>
      </rPr>
      <t>Disco duro</t>
    </r>
    <r>
      <rPr>
        <sz val="11"/>
        <color theme="1"/>
        <rFont val="Aptos Narrow"/>
      </rPr>
      <t xml:space="preserve">: 10 GB de espacio libre en disco.
</t>
    </r>
    <r>
      <rPr>
        <u/>
        <sz val="11"/>
        <color theme="1"/>
        <rFont val="Aptos Narrow"/>
      </rPr>
      <t>Pantalla</t>
    </r>
    <r>
      <rPr>
        <sz val="11"/>
        <color theme="1"/>
        <rFont val="Aptos Narrow"/>
      </rPr>
      <t>: Resolución mínima de 1128 x 634 píxeles para asegurar la correcta visualización de las cuadrículas de datos y los formularios en paralelo.</t>
    </r>
  </si>
  <si>
    <r>
      <rPr>
        <u/>
        <sz val="11"/>
        <color theme="1"/>
        <rFont val="Aptos Narrow"/>
      </rPr>
      <t>Sistema Operativo</t>
    </r>
    <r>
      <rPr>
        <sz val="11"/>
        <color theme="1"/>
        <rFont val="Aptos Narrow"/>
      </rPr>
      <t xml:space="preserve">: Windows 7/8/10/11, macOS o distribuciones estables de Linux de escritorio.
</t>
    </r>
    <r>
      <rPr>
        <u/>
        <sz val="11"/>
        <color theme="1"/>
        <rFont val="Aptos Narrow"/>
      </rPr>
      <t>Navegador Web</t>
    </r>
    <r>
      <rPr>
        <sz val="11"/>
        <color theme="1"/>
        <rFont val="Aptos Narrow"/>
      </rPr>
      <t>: Versiones actualizadas de Google Chrome, Mozilla Firefox, Microsoft Edge o Safari.</t>
    </r>
  </si>
  <si>
    <t>Conexión estable a la red local (Intranet) o a internet para poder consumir el aplicativo web.</t>
  </si>
  <si>
    <t>REQUERIMIENTOS</t>
  </si>
  <si>
    <t>Requerimientos funcionales:</t>
  </si>
  <si>
    <t>RF-1: El sistema deberá registrar la información completa de los empleados (datos personales, cargo, contrato, etc.).
RF-2: El sistema deberá permitir al usuario registrarse para tener una cuenta en el sistema.
RF-3: El sistema deberá permitir al usuario iniciar sesión.
RF-4: El sistema deberá permitir al usuario recuperar el acceso a su cuenta en caso de haber olvidado la contraseña.
RF-5: El sistema deberá permitir al usuario cambiar la contraseña.
RF-6: El sistema deberá permitir al usuario mantener iniciada la sesión si así lo desea.
RF-7: El sistema deberá permitir al usuario cerrar su sesión.
RF-8: El sistema deberá gestionar la información del usuario de cada empleado (crear cuenta y asignar rol).
RF-9: El sistema deberá visualizar las horas trabajadas de los empleados.
RF-10: El sistema deberá gestionar los periodos de prueba de los nuevos empleados.
RF-11: El sistema deberá visualizar y asignar horarios de trabajo a cada empleado.
RF-12: El sistema deberá administrar los criterios de evaluación de los empleados.
RF-13: El sistema deberá administrar los datos generales de los empleados.
RF-14: El sistema deberá visualizar y modificar los datos personales de los empleados.
RF-15: El sistema deberá registrar solicitudes laborales (horas extra, permisos, ascensos, etc.).
RF-16: El sistema deberá visualizar y gestionar las solicitudes realizadas por los trabajadores.</t>
  </si>
  <si>
    <t>Requerimientos no funcionales:</t>
  </si>
  <si>
    <t>RNF-1: El sistema deberá estar disponible durante el horario laboral.
RNF-2: El sistema deberá tener una interfaz fácil de usar.
RNF-3: El sistema deberá adaptarse a celulares y tablets (responsive).
RNF-4: El sistema deberá responder rápidamente a las consultas y cargas de página.
RNF-5: El sistema deberá soportar varios usuarios conectados al mismo tiempo.
RNF-6: El sistema deberá funcionar correctamente en los navegadores más usados.</t>
  </si>
  <si>
    <t>Clientes del producto:</t>
  </si>
  <si>
    <t>Personal administrativo, jefes de área, analistas de recursos humanos, directivos y empleados activos de la empresa Rhino Solutions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</si>
</sst>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\ \C\O\P"/>
  </numFmts>
  <fonts count="17" x14ac:knownFonts="1">
    <font>
      <sz val="11"/>
      <color theme="1"/>
      <name val="Calibri"/>
      <family val="2"/>
      <scheme val="minor"/>
    </font>
    <font>
      <b/>
      <sz val="15"/>
      <color rgb="FF1B365D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1"/>
      <color theme="1"/>
      <name val="Calibri"/>
      <scheme val="minor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ptos Narrow"/>
    </font>
    <font>
      <sz val="11"/>
      <color theme="1"/>
      <name val="Arial"/>
    </font>
    <font>
      <b/>
      <sz val="11"/>
      <color rgb="FF215E99"/>
      <name val="Aptos Narrow"/>
    </font>
    <font>
      <u/>
      <sz val="11"/>
      <color theme="1"/>
      <name val="Aptos Narrow"/>
    </font>
    <font>
      <sz val="11"/>
      <color theme="3"/>
      <name val="Calibri"/>
      <family val="2"/>
      <scheme val="minor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  <fill>
      <patternFill patternType="solid">
        <fgColor rgb="FFE6EDF5"/>
        <bgColor rgb="FFE6EDF5"/>
      </patternFill>
    </fill>
    <fill>
      <patternFill patternType="solid">
        <fgColor theme="3"/>
        <bgColor rgb="FFDBE9F7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164" fontId="5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left" wrapText="1"/>
    </xf>
    <xf numFmtId="164" fontId="5" fillId="3" borderId="1" xfId="0" applyNumberFormat="1" applyFont="1" applyFill="1" applyBorder="1" applyAlignment="1">
      <alignment horizontal="right"/>
    </xf>
    <xf numFmtId="0" fontId="5" fillId="0" borderId="2" xfId="0" applyFont="1" applyBorder="1"/>
    <xf numFmtId="0" fontId="0" fillId="0" borderId="2" xfId="0" applyBorder="1"/>
    <xf numFmtId="164" fontId="5" fillId="4" borderId="2" xfId="0" applyNumberFormat="1" applyFont="1" applyFill="1" applyBorder="1"/>
    <xf numFmtId="164" fontId="4" fillId="0" borderId="1" xfId="0" applyNumberFormat="1" applyFont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0" fontId="4" fillId="0" borderId="3" xfId="0" applyFont="1" applyBorder="1" applyAlignment="1">
      <alignment horizontal="left" wrapText="1"/>
    </xf>
    <xf numFmtId="0" fontId="7" fillId="0" borderId="6" xfId="1" applyFont="1" applyBorder="1" applyAlignment="1">
      <alignment vertical="center"/>
    </xf>
    <xf numFmtId="0" fontId="9" fillId="0" borderId="7" xfId="1" applyFont="1" applyBorder="1" applyAlignment="1">
      <alignment vertical="top"/>
    </xf>
    <xf numFmtId="0" fontId="10" fillId="0" borderId="7" xfId="1" applyFont="1" applyBorder="1" applyAlignment="1">
      <alignment vertical="top"/>
    </xf>
    <xf numFmtId="0" fontId="7" fillId="0" borderId="8" xfId="1" applyFont="1" applyBorder="1" applyAlignment="1">
      <alignment vertical="center"/>
    </xf>
    <xf numFmtId="0" fontId="9" fillId="0" borderId="9" xfId="1" applyFont="1" applyBorder="1" applyAlignment="1">
      <alignment vertical="top"/>
    </xf>
    <xf numFmtId="0" fontId="7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9" fillId="0" borderId="7" xfId="1" applyFont="1" applyBorder="1" applyAlignment="1">
      <alignment vertical="top" wrapText="1"/>
    </xf>
    <xf numFmtId="0" fontId="9" fillId="0" borderId="9" xfId="1" applyFont="1" applyBorder="1" applyAlignment="1">
      <alignment vertical="top" wrapText="1"/>
    </xf>
    <xf numFmtId="0" fontId="9" fillId="0" borderId="0" xfId="1" applyFont="1" applyAlignment="1">
      <alignment vertical="top"/>
    </xf>
    <xf numFmtId="0" fontId="9" fillId="0" borderId="9" xfId="1" applyFont="1" applyBorder="1" applyAlignment="1">
      <alignment wrapText="1"/>
    </xf>
    <xf numFmtId="0" fontId="7" fillId="0" borderId="6" xfId="1" applyFont="1" applyBorder="1" applyAlignment="1">
      <alignment vertical="center" wrapText="1"/>
    </xf>
    <xf numFmtId="0" fontId="9" fillId="0" borderId="7" xfId="1" applyFont="1" applyBorder="1" applyAlignment="1">
      <alignment wrapText="1"/>
    </xf>
    <xf numFmtId="0" fontId="7" fillId="0" borderId="8" xfId="1" applyFont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11" fillId="0" borderId="10" xfId="1" applyFont="1" applyBorder="1" applyAlignment="1">
      <alignment vertical="center" wrapText="1"/>
    </xf>
    <xf numFmtId="0" fontId="8" fillId="0" borderId="11" xfId="1" applyFont="1" applyBorder="1"/>
    <xf numFmtId="0" fontId="13" fillId="0" borderId="0" xfId="0" applyFont="1"/>
    <xf numFmtId="0" fontId="14" fillId="5" borderId="4" xfId="1" applyFont="1" applyFill="1" applyBorder="1" applyAlignment="1">
      <alignment horizontal="center" vertical="center"/>
    </xf>
    <xf numFmtId="0" fontId="15" fillId="6" borderId="5" xfId="1" applyFont="1" applyFill="1" applyBorder="1"/>
    <xf numFmtId="0" fontId="14" fillId="5" borderId="4" xfId="1" applyFont="1" applyFill="1" applyBorder="1" applyAlignment="1">
      <alignment horizontal="center" vertical="center" wrapText="1"/>
    </xf>
    <xf numFmtId="0" fontId="16" fillId="0" borderId="0" xfId="0" applyFont="1"/>
  </cellXfs>
  <cellStyles count="2">
    <cellStyle name="Normal" xfId="0" builtinId="0"/>
    <cellStyle name="Normal 2" xfId="1" xr:uid="{0D4267F1-3125-4A69-BD67-B35A67D8BD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C5D9-036D-4DB6-8E77-0530923E5BEC}">
  <dimension ref="A1:C29"/>
  <sheetViews>
    <sheetView topLeftCell="A24" zoomScale="54" zoomScaleNormal="70" workbookViewId="0">
      <selection activeCell="J27" sqref="J27"/>
    </sheetView>
  </sheetViews>
  <sheetFormatPr baseColWidth="10" defaultRowHeight="14.5" x14ac:dyDescent="0.35"/>
  <cols>
    <col min="2" max="2" width="68.90625" customWidth="1"/>
    <col min="3" max="3" width="117.81640625" customWidth="1"/>
  </cols>
  <sheetData>
    <row r="1" spans="1:3" x14ac:dyDescent="0.35">
      <c r="B1" s="32" t="s">
        <v>131</v>
      </c>
      <c r="C1" s="33"/>
    </row>
    <row r="2" spans="1:3" x14ac:dyDescent="0.35">
      <c r="B2" s="14" t="s">
        <v>132</v>
      </c>
      <c r="C2" s="15" t="s">
        <v>133</v>
      </c>
    </row>
    <row r="3" spans="1:3" x14ac:dyDescent="0.35">
      <c r="B3" s="14" t="s">
        <v>134</v>
      </c>
      <c r="C3" s="15" t="s">
        <v>135</v>
      </c>
    </row>
    <row r="4" spans="1:3" x14ac:dyDescent="0.35">
      <c r="B4" s="14" t="s">
        <v>136</v>
      </c>
      <c r="C4" s="15" t="s">
        <v>137</v>
      </c>
    </row>
    <row r="5" spans="1:3" x14ac:dyDescent="0.35">
      <c r="B5" s="14" t="s">
        <v>138</v>
      </c>
      <c r="C5" s="15" t="s">
        <v>139</v>
      </c>
    </row>
    <row r="6" spans="1:3" x14ac:dyDescent="0.35">
      <c r="B6" s="14" t="s">
        <v>140</v>
      </c>
      <c r="C6" s="16" t="s">
        <v>141</v>
      </c>
    </row>
    <row r="7" spans="1:3" ht="15" thickBot="1" x14ac:dyDescent="0.4">
      <c r="B7" s="17" t="s">
        <v>142</v>
      </c>
      <c r="C7" s="18" t="s">
        <v>143</v>
      </c>
    </row>
    <row r="8" spans="1:3" ht="15" thickBot="1" x14ac:dyDescent="0.4">
      <c r="B8" s="19"/>
      <c r="C8" s="20"/>
    </row>
    <row r="9" spans="1:3" x14ac:dyDescent="0.35">
      <c r="B9" s="32" t="s">
        <v>144</v>
      </c>
      <c r="C9" s="33"/>
    </row>
    <row r="10" spans="1:3" ht="43.5" x14ac:dyDescent="0.35">
      <c r="B10" s="14" t="s">
        <v>145</v>
      </c>
      <c r="C10" s="21" t="s">
        <v>146</v>
      </c>
    </row>
    <row r="11" spans="1:3" ht="53" customHeight="1" thickBot="1" x14ac:dyDescent="0.4">
      <c r="B11" s="17" t="s">
        <v>147</v>
      </c>
      <c r="C11" s="22" t="s">
        <v>148</v>
      </c>
    </row>
    <row r="12" spans="1:3" ht="15" thickBot="1" x14ac:dyDescent="0.4">
      <c r="B12" s="20"/>
      <c r="C12" s="23"/>
    </row>
    <row r="13" spans="1:3" ht="15.5" customHeight="1" x14ac:dyDescent="0.35">
      <c r="B13" s="32" t="s">
        <v>149</v>
      </c>
      <c r="C13" s="33"/>
    </row>
    <row r="14" spans="1:3" ht="47" customHeight="1" thickBot="1" x14ac:dyDescent="0.4">
      <c r="B14" s="17" t="s">
        <v>150</v>
      </c>
      <c r="C14" s="24" t="s">
        <v>151</v>
      </c>
    </row>
    <row r="15" spans="1:3" ht="15" thickBot="1" x14ac:dyDescent="0.4">
      <c r="A15" s="31"/>
      <c r="B15" s="20"/>
      <c r="C15" s="20"/>
    </row>
    <row r="16" spans="1:3" x14ac:dyDescent="0.35">
      <c r="B16" s="32" t="s">
        <v>152</v>
      </c>
      <c r="C16" s="33"/>
    </row>
    <row r="17" spans="2:3" x14ac:dyDescent="0.35">
      <c r="B17" s="29" t="s">
        <v>153</v>
      </c>
      <c r="C17" s="30"/>
    </row>
    <row r="18" spans="2:3" ht="69.5" customHeight="1" x14ac:dyDescent="0.35">
      <c r="B18" s="25" t="s">
        <v>154</v>
      </c>
      <c r="C18" s="21" t="s">
        <v>155</v>
      </c>
    </row>
    <row r="19" spans="2:3" ht="43" customHeight="1" x14ac:dyDescent="0.35">
      <c r="B19" s="25" t="s">
        <v>156</v>
      </c>
      <c r="C19" s="26" t="s">
        <v>157</v>
      </c>
    </row>
    <row r="20" spans="2:3" ht="19" customHeight="1" x14ac:dyDescent="0.35">
      <c r="B20" s="25" t="s">
        <v>158</v>
      </c>
      <c r="C20" s="26" t="s">
        <v>159</v>
      </c>
    </row>
    <row r="21" spans="2:3" x14ac:dyDescent="0.35">
      <c r="B21" s="29" t="s">
        <v>160</v>
      </c>
      <c r="C21" s="30"/>
    </row>
    <row r="22" spans="2:3" ht="89" customHeight="1" x14ac:dyDescent="0.35">
      <c r="B22" s="25" t="s">
        <v>154</v>
      </c>
      <c r="C22" s="21" t="s">
        <v>161</v>
      </c>
    </row>
    <row r="23" spans="2:3" ht="37" customHeight="1" x14ac:dyDescent="0.35">
      <c r="B23" s="25" t="s">
        <v>156</v>
      </c>
      <c r="C23" s="21" t="s">
        <v>162</v>
      </c>
    </row>
    <row r="24" spans="2:3" ht="42" customHeight="1" thickBot="1" x14ac:dyDescent="0.4">
      <c r="B24" s="27" t="s">
        <v>158</v>
      </c>
      <c r="C24" s="22" t="s">
        <v>163</v>
      </c>
    </row>
    <row r="25" spans="2:3" ht="15" thickBot="1" x14ac:dyDescent="0.4">
      <c r="B25" s="28"/>
      <c r="C25" s="28"/>
    </row>
    <row r="26" spans="2:3" ht="39.5" customHeight="1" x14ac:dyDescent="0.35">
      <c r="B26" s="34" t="s">
        <v>164</v>
      </c>
      <c r="C26" s="33"/>
    </row>
    <row r="27" spans="2:3" ht="272.5" customHeight="1" x14ac:dyDescent="0.35">
      <c r="B27" s="25" t="s">
        <v>165</v>
      </c>
      <c r="C27" s="21" t="s">
        <v>166</v>
      </c>
    </row>
    <row r="28" spans="2:3" ht="110.5" customHeight="1" x14ac:dyDescent="0.35">
      <c r="B28" s="25" t="s">
        <v>167</v>
      </c>
      <c r="C28" s="21" t="s">
        <v>168</v>
      </c>
    </row>
    <row r="29" spans="2:3" ht="24" customHeight="1" thickBot="1" x14ac:dyDescent="0.4">
      <c r="B29" s="27" t="s">
        <v>169</v>
      </c>
      <c r="C29" s="22" t="s">
        <v>170</v>
      </c>
    </row>
  </sheetData>
  <mergeCells count="7">
    <mergeCell ref="B21:C21"/>
    <mergeCell ref="B26:C26"/>
    <mergeCell ref="B1:C1"/>
    <mergeCell ref="B9:C9"/>
    <mergeCell ref="B13:C13"/>
    <mergeCell ref="B16:C16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2"/>
  <sheetViews>
    <sheetView topLeftCell="B5" workbookViewId="0">
      <selection activeCell="H7" sqref="H7"/>
    </sheetView>
  </sheetViews>
  <sheetFormatPr baseColWidth="10" defaultColWidth="8.7265625" defaultRowHeight="14.5" x14ac:dyDescent="0.35"/>
  <cols>
    <col min="2" max="2" width="32" customWidth="1"/>
    <col min="3" max="3" width="28" customWidth="1"/>
    <col min="4" max="4" width="20" customWidth="1"/>
    <col min="5" max="6" width="22" customWidth="1"/>
    <col min="7" max="7" width="38" customWidth="1"/>
  </cols>
  <sheetData>
    <row r="2" spans="2:8" ht="19.5" x14ac:dyDescent="0.45">
      <c r="B2" s="1" t="s">
        <v>0</v>
      </c>
    </row>
    <row r="3" spans="2:8" x14ac:dyDescent="0.35">
      <c r="B3" s="2" t="s">
        <v>1</v>
      </c>
    </row>
    <row r="5" spans="2:8" ht="2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129</v>
      </c>
    </row>
    <row r="6" spans="2:8" ht="39.5" x14ac:dyDescent="0.35">
      <c r="B6" s="4" t="s">
        <v>7</v>
      </c>
      <c r="C6" s="4" t="s">
        <v>8</v>
      </c>
      <c r="D6" s="4" t="s">
        <v>9</v>
      </c>
      <c r="E6" s="5">
        <f>'2. Equipos Cliente y Ensamble'!F6 * 5</f>
        <v>15725000</v>
      </c>
      <c r="F6" s="5" t="str">
        <f>D6</f>
        <v>Lasus Colombia</v>
      </c>
      <c r="G6" s="4" t="s">
        <v>10</v>
      </c>
      <c r="H6" s="13" t="s">
        <v>128</v>
      </c>
    </row>
    <row r="7" spans="2:8" ht="39.5" x14ac:dyDescent="0.35">
      <c r="B7" s="6" t="s">
        <v>11</v>
      </c>
      <c r="C7" s="6" t="s">
        <v>12</v>
      </c>
      <c r="D7" s="6" t="s">
        <v>13</v>
      </c>
      <c r="E7" s="7">
        <f>'2. Equipos Cliente y Ensamble'!F9 * 3</f>
        <v>8670000</v>
      </c>
      <c r="F7" s="7" t="str">
        <f>D7</f>
        <v>Clonet S.A.S.</v>
      </c>
      <c r="G7" s="6" t="s">
        <v>14</v>
      </c>
    </row>
    <row r="8" spans="2:8" ht="39.5" x14ac:dyDescent="0.35">
      <c r="B8" s="4" t="s">
        <v>15</v>
      </c>
      <c r="C8" s="4" t="s">
        <v>16</v>
      </c>
      <c r="D8" s="4" t="s">
        <v>17</v>
      </c>
      <c r="E8" s="5">
        <f>'2. Equipos Cliente y Ensamble'!F12</f>
        <v>2399000</v>
      </c>
      <c r="F8" s="5" t="str">
        <f>D8</f>
        <v>Tauret Computadores</v>
      </c>
      <c r="G8" s="4" t="s">
        <v>18</v>
      </c>
    </row>
    <row r="9" spans="2:8" ht="39.5" x14ac:dyDescent="0.35">
      <c r="B9" s="6" t="s">
        <v>19</v>
      </c>
      <c r="C9" s="6" t="s">
        <v>20</v>
      </c>
      <c r="D9" s="6" t="s">
        <v>21</v>
      </c>
      <c r="E9" s="7">
        <f>'3. Servidores, Internet y Nube'!F9</f>
        <v>119900</v>
      </c>
      <c r="F9" s="7">
        <f>'3. Servidores, Internet y Nube'!G9</f>
        <v>1438800</v>
      </c>
      <c r="G9" s="6" t="s">
        <v>22</v>
      </c>
    </row>
    <row r="10" spans="2:8" ht="39.5" x14ac:dyDescent="0.35">
      <c r="B10" s="4" t="s">
        <v>23</v>
      </c>
      <c r="C10" s="4" t="s">
        <v>24</v>
      </c>
      <c r="D10" s="4" t="s">
        <v>25</v>
      </c>
      <c r="E10" s="5">
        <f>'3. Servidores, Internet y Nube'!F12</f>
        <v>96000</v>
      </c>
      <c r="F10" s="5">
        <f>'3. Servidores, Internet y Nube'!G12</f>
        <v>1152000</v>
      </c>
      <c r="G10" s="4" t="s">
        <v>26</v>
      </c>
    </row>
    <row r="11" spans="2:8" x14ac:dyDescent="0.35">
      <c r="B11" s="8" t="s">
        <v>27</v>
      </c>
      <c r="C11" s="9"/>
      <c r="D11" s="9"/>
      <c r="E11" s="10">
        <f>SUM(D6:D8)</f>
        <v>0</v>
      </c>
      <c r="F11" s="9"/>
      <c r="G11" s="9"/>
    </row>
    <row r="12" spans="2:8" x14ac:dyDescent="0.35">
      <c r="B12" s="8" t="s">
        <v>28</v>
      </c>
      <c r="C12" s="9"/>
      <c r="D12" s="9"/>
      <c r="E12" s="10">
        <f>SUM(D9:D10)</f>
        <v>0</v>
      </c>
      <c r="F12" s="9"/>
      <c r="G12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4"/>
  <sheetViews>
    <sheetView topLeftCell="A2" workbookViewId="0">
      <selection activeCell="B15" sqref="B15"/>
    </sheetView>
  </sheetViews>
  <sheetFormatPr baseColWidth="10" defaultColWidth="8.7265625" defaultRowHeight="14.5" x14ac:dyDescent="0.35"/>
  <cols>
    <col min="2" max="2" width="16" customWidth="1"/>
    <col min="3" max="4" width="24" customWidth="1"/>
    <col min="5" max="5" width="32" customWidth="1"/>
    <col min="6" max="6" width="18" customWidth="1"/>
    <col min="7" max="7" width="14" customWidth="1"/>
    <col min="8" max="8" width="32" customWidth="1"/>
    <col min="9" max="9" width="26" customWidth="1"/>
  </cols>
  <sheetData>
    <row r="2" spans="2:9" ht="19.5" x14ac:dyDescent="0.45">
      <c r="B2" s="1" t="s">
        <v>29</v>
      </c>
    </row>
    <row r="5" spans="2:9" ht="25" customHeight="1" x14ac:dyDescent="0.35"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130</v>
      </c>
      <c r="I5" s="3" t="s">
        <v>36</v>
      </c>
    </row>
    <row r="6" spans="2:9" ht="39.5" x14ac:dyDescent="0.35">
      <c r="B6" s="4" t="s">
        <v>37</v>
      </c>
      <c r="C6" s="4" t="s">
        <v>38</v>
      </c>
      <c r="D6" s="4" t="s">
        <v>39</v>
      </c>
      <c r="E6" s="4" t="s">
        <v>40</v>
      </c>
      <c r="F6" s="11">
        <v>3145000</v>
      </c>
      <c r="G6" s="4" t="s">
        <v>41</v>
      </c>
      <c r="H6" s="4" t="s">
        <v>42</v>
      </c>
      <c r="I6" s="4" t="s">
        <v>43</v>
      </c>
    </row>
    <row r="7" spans="2:9" ht="26.5" x14ac:dyDescent="0.35">
      <c r="B7" s="6" t="s">
        <v>37</v>
      </c>
      <c r="C7" s="6" t="s">
        <v>44</v>
      </c>
      <c r="D7" s="6" t="s">
        <v>39</v>
      </c>
      <c r="E7" s="6" t="s">
        <v>45</v>
      </c>
      <c r="F7" s="12">
        <v>3311066</v>
      </c>
      <c r="G7" s="6" t="s">
        <v>46</v>
      </c>
      <c r="H7" s="6" t="s">
        <v>47</v>
      </c>
      <c r="I7" s="6" t="s">
        <v>43</v>
      </c>
    </row>
    <row r="8" spans="2:9" ht="26.5" x14ac:dyDescent="0.35">
      <c r="B8" s="4" t="s">
        <v>37</v>
      </c>
      <c r="C8" s="4" t="s">
        <v>48</v>
      </c>
      <c r="D8" s="4" t="s">
        <v>39</v>
      </c>
      <c r="E8" s="4" t="s">
        <v>49</v>
      </c>
      <c r="F8" s="11">
        <v>2950754</v>
      </c>
      <c r="G8" s="4" t="s">
        <v>50</v>
      </c>
      <c r="H8" s="4" t="s">
        <v>51</v>
      </c>
      <c r="I8" s="4" t="s">
        <v>43</v>
      </c>
    </row>
    <row r="9" spans="2:9" ht="39.5" x14ac:dyDescent="0.35">
      <c r="B9" s="6" t="s">
        <v>52</v>
      </c>
      <c r="C9" s="6" t="s">
        <v>53</v>
      </c>
      <c r="D9" s="6" t="s">
        <v>54</v>
      </c>
      <c r="E9" s="6" t="s">
        <v>55</v>
      </c>
      <c r="F9" s="12">
        <v>2890000</v>
      </c>
      <c r="G9" s="6" t="s">
        <v>56</v>
      </c>
      <c r="H9" s="6" t="s">
        <v>57</v>
      </c>
      <c r="I9" s="6" t="s">
        <v>58</v>
      </c>
    </row>
    <row r="10" spans="2:9" ht="26.5" x14ac:dyDescent="0.35">
      <c r="B10" s="4" t="s">
        <v>52</v>
      </c>
      <c r="C10" s="4" t="s">
        <v>59</v>
      </c>
      <c r="D10" s="4" t="s">
        <v>60</v>
      </c>
      <c r="E10" s="4" t="s">
        <v>61</v>
      </c>
      <c r="F10" s="11">
        <v>2950000</v>
      </c>
      <c r="G10" s="4" t="s">
        <v>62</v>
      </c>
      <c r="H10" s="4" t="s">
        <v>63</v>
      </c>
      <c r="I10" s="4" t="s">
        <v>64</v>
      </c>
    </row>
    <row r="11" spans="2:9" ht="26.5" x14ac:dyDescent="0.35">
      <c r="B11" s="6" t="s">
        <v>52</v>
      </c>
      <c r="C11" s="6" t="s">
        <v>65</v>
      </c>
      <c r="D11" s="6" t="s">
        <v>60</v>
      </c>
      <c r="E11" s="6" t="s">
        <v>61</v>
      </c>
      <c r="F11" s="12">
        <v>3100000</v>
      </c>
      <c r="G11" s="6" t="s">
        <v>66</v>
      </c>
      <c r="H11" s="6" t="s">
        <v>67</v>
      </c>
      <c r="I11" s="6" t="s">
        <v>64</v>
      </c>
    </row>
    <row r="12" spans="2:9" ht="39.5" x14ac:dyDescent="0.35">
      <c r="B12" s="4" t="s">
        <v>68</v>
      </c>
      <c r="C12" s="4" t="s">
        <v>69</v>
      </c>
      <c r="D12" s="4" t="s">
        <v>70</v>
      </c>
      <c r="E12" s="4" t="s">
        <v>71</v>
      </c>
      <c r="F12" s="11">
        <v>2399000</v>
      </c>
      <c r="G12" s="4" t="s">
        <v>72</v>
      </c>
      <c r="H12" s="4" t="s">
        <v>73</v>
      </c>
      <c r="I12" s="4" t="s">
        <v>74</v>
      </c>
    </row>
    <row r="13" spans="2:9" ht="39.5" x14ac:dyDescent="0.35">
      <c r="B13" s="6" t="s">
        <v>68</v>
      </c>
      <c r="C13" s="6" t="s">
        <v>75</v>
      </c>
      <c r="D13" s="6" t="s">
        <v>70</v>
      </c>
      <c r="E13" s="6" t="s">
        <v>76</v>
      </c>
      <c r="F13" s="12">
        <v>2199000</v>
      </c>
      <c r="G13" s="6" t="s">
        <v>72</v>
      </c>
      <c r="H13" s="6" t="s">
        <v>77</v>
      </c>
      <c r="I13" s="6" t="s">
        <v>74</v>
      </c>
    </row>
    <row r="14" spans="2:9" ht="39.5" x14ac:dyDescent="0.35">
      <c r="B14" s="4" t="s">
        <v>68</v>
      </c>
      <c r="C14" s="4" t="s">
        <v>78</v>
      </c>
      <c r="D14" s="4" t="s">
        <v>70</v>
      </c>
      <c r="E14" s="4" t="s">
        <v>79</v>
      </c>
      <c r="F14" s="11">
        <v>2399000</v>
      </c>
      <c r="G14" s="4" t="s">
        <v>72</v>
      </c>
      <c r="H14" s="4" t="s">
        <v>80</v>
      </c>
      <c r="I14" s="4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14"/>
  <sheetViews>
    <sheetView tabSelected="1" topLeftCell="A5" workbookViewId="0">
      <selection activeCell="A5" sqref="A5"/>
    </sheetView>
  </sheetViews>
  <sheetFormatPr baseColWidth="10" defaultColWidth="8.7265625" defaultRowHeight="14.5" x14ac:dyDescent="0.35"/>
  <cols>
    <col min="2" max="2" width="14" customWidth="1"/>
    <col min="3" max="4" width="24" customWidth="1"/>
    <col min="5" max="5" width="32" customWidth="1"/>
    <col min="6" max="7" width="18" customWidth="1"/>
    <col min="8" max="8" width="34" customWidth="1"/>
    <col min="9" max="9" width="26" customWidth="1"/>
  </cols>
  <sheetData>
    <row r="2" spans="1:9" ht="19.5" x14ac:dyDescent="0.45">
      <c r="B2" s="1" t="s">
        <v>81</v>
      </c>
    </row>
    <row r="5" spans="1:9" ht="25" customHeight="1" x14ac:dyDescent="0.35">
      <c r="A5" s="35"/>
      <c r="B5" s="3" t="s">
        <v>82</v>
      </c>
      <c r="C5" s="3" t="s">
        <v>31</v>
      </c>
      <c r="D5" s="3" t="s">
        <v>83</v>
      </c>
      <c r="E5" s="3" t="s">
        <v>84</v>
      </c>
      <c r="F5" s="3" t="s">
        <v>85</v>
      </c>
      <c r="G5" s="3" t="s">
        <v>86</v>
      </c>
      <c r="H5" s="3" t="s">
        <v>87</v>
      </c>
      <c r="I5" s="3" t="s">
        <v>88</v>
      </c>
    </row>
    <row r="6" spans="1:9" ht="26.5" x14ac:dyDescent="0.35">
      <c r="B6" s="4" t="s">
        <v>89</v>
      </c>
      <c r="C6" s="4" t="s">
        <v>90</v>
      </c>
      <c r="D6" s="4" t="s">
        <v>91</v>
      </c>
      <c r="E6" s="4" t="s">
        <v>92</v>
      </c>
      <c r="F6" s="11">
        <v>158400</v>
      </c>
      <c r="G6" s="11">
        <v>1900800</v>
      </c>
      <c r="H6" s="4" t="s">
        <v>93</v>
      </c>
      <c r="I6" s="4" t="s">
        <v>94</v>
      </c>
    </row>
    <row r="7" spans="1:9" ht="26.5" x14ac:dyDescent="0.35">
      <c r="B7" s="6" t="s">
        <v>89</v>
      </c>
      <c r="C7" s="6" t="s">
        <v>95</v>
      </c>
      <c r="D7" s="6" t="s">
        <v>91</v>
      </c>
      <c r="E7" s="6" t="s">
        <v>96</v>
      </c>
      <c r="F7" s="12">
        <v>520000</v>
      </c>
      <c r="G7" s="12">
        <v>6240000</v>
      </c>
      <c r="H7" s="6" t="s">
        <v>97</v>
      </c>
      <c r="I7" s="6" t="s">
        <v>94</v>
      </c>
    </row>
    <row r="8" spans="1:9" ht="26.5" x14ac:dyDescent="0.35">
      <c r="B8" s="4" t="s">
        <v>89</v>
      </c>
      <c r="C8" s="4" t="s">
        <v>98</v>
      </c>
      <c r="D8" s="4" t="s">
        <v>99</v>
      </c>
      <c r="E8" s="4" t="s">
        <v>100</v>
      </c>
      <c r="F8" s="11">
        <v>4950000</v>
      </c>
      <c r="G8" s="11">
        <v>4950000</v>
      </c>
      <c r="H8" s="4" t="s">
        <v>101</v>
      </c>
      <c r="I8" s="4" t="s">
        <v>58</v>
      </c>
    </row>
    <row r="9" spans="1:9" ht="26.5" x14ac:dyDescent="0.35">
      <c r="B9" s="6" t="s">
        <v>102</v>
      </c>
      <c r="C9" s="6" t="s">
        <v>103</v>
      </c>
      <c r="D9" s="6" t="s">
        <v>104</v>
      </c>
      <c r="E9" s="6" t="s">
        <v>105</v>
      </c>
      <c r="F9" s="12">
        <v>119900</v>
      </c>
      <c r="G9" s="12">
        <v>1438800</v>
      </c>
      <c r="H9" s="6" t="s">
        <v>106</v>
      </c>
      <c r="I9" s="6" t="s">
        <v>107</v>
      </c>
    </row>
    <row r="10" spans="1:9" ht="26.5" x14ac:dyDescent="0.35">
      <c r="B10" s="4" t="s">
        <v>102</v>
      </c>
      <c r="C10" s="4" t="s">
        <v>108</v>
      </c>
      <c r="D10" s="4" t="s">
        <v>104</v>
      </c>
      <c r="E10" s="4" t="s">
        <v>109</v>
      </c>
      <c r="F10" s="11">
        <v>134900</v>
      </c>
      <c r="G10" s="11">
        <v>1618800</v>
      </c>
      <c r="H10" s="4" t="s">
        <v>110</v>
      </c>
      <c r="I10" s="4" t="s">
        <v>107</v>
      </c>
    </row>
    <row r="11" spans="1:9" ht="39.5" x14ac:dyDescent="0.35">
      <c r="B11" s="6" t="s">
        <v>102</v>
      </c>
      <c r="C11" s="6" t="s">
        <v>111</v>
      </c>
      <c r="D11" s="6" t="s">
        <v>112</v>
      </c>
      <c r="E11" s="6" t="s">
        <v>113</v>
      </c>
      <c r="F11" s="12">
        <v>110000</v>
      </c>
      <c r="G11" s="12">
        <v>1320000</v>
      </c>
      <c r="H11" s="6" t="s">
        <v>114</v>
      </c>
      <c r="I11" s="6" t="s">
        <v>115</v>
      </c>
    </row>
    <row r="12" spans="1:9" ht="26.5" x14ac:dyDescent="0.35">
      <c r="B12" s="4" t="s">
        <v>116</v>
      </c>
      <c r="C12" s="4" t="s">
        <v>117</v>
      </c>
      <c r="D12" s="4" t="s">
        <v>25</v>
      </c>
      <c r="E12" s="4" t="s">
        <v>118</v>
      </c>
      <c r="F12" s="11">
        <v>96000</v>
      </c>
      <c r="G12" s="11">
        <v>1152000</v>
      </c>
      <c r="H12" s="4" t="s">
        <v>119</v>
      </c>
      <c r="I12" s="4" t="s">
        <v>120</v>
      </c>
    </row>
    <row r="13" spans="1:9" ht="26.5" x14ac:dyDescent="0.35">
      <c r="B13" s="6" t="s">
        <v>116</v>
      </c>
      <c r="C13" s="6" t="s">
        <v>121</v>
      </c>
      <c r="D13" s="6" t="s">
        <v>25</v>
      </c>
      <c r="E13" s="6" t="s">
        <v>122</v>
      </c>
      <c r="F13" s="12">
        <v>252000</v>
      </c>
      <c r="G13" s="12">
        <v>3024000</v>
      </c>
      <c r="H13" s="6" t="s">
        <v>123</v>
      </c>
      <c r="I13" s="6" t="s">
        <v>74</v>
      </c>
    </row>
    <row r="14" spans="1:9" ht="39.5" x14ac:dyDescent="0.35">
      <c r="B14" s="4" t="s">
        <v>116</v>
      </c>
      <c r="C14" s="4" t="s">
        <v>124</v>
      </c>
      <c r="D14" s="4" t="s">
        <v>125</v>
      </c>
      <c r="E14" s="4" t="s">
        <v>126</v>
      </c>
      <c r="F14" s="11">
        <v>198400</v>
      </c>
      <c r="G14" s="11">
        <v>2380800</v>
      </c>
      <c r="H14" s="4" t="s">
        <v>127</v>
      </c>
      <c r="I14" s="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1. Resumen de Costos</vt:lpstr>
      <vt:lpstr>2. Equipos Cliente y Ensamble</vt:lpstr>
      <vt:lpstr>3. Servidores, Internet y Nube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Oliveros Avila</cp:lastModifiedBy>
  <dcterms:created xsi:type="dcterms:W3CDTF">2026-06-25T01:52:41Z</dcterms:created>
  <dcterms:modified xsi:type="dcterms:W3CDTF">2026-07-02T00:43:46Z</dcterms:modified>
</cp:coreProperties>
</file>